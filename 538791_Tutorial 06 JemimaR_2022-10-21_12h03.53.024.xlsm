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MIMA\Documents\L in Psych Psychopy\data\"/>
    </mc:Choice>
  </mc:AlternateContent>
  <xr:revisionPtr revIDLastSave="0" documentId="13_ncr:40009_{09AEFDB6-2303-454C-8AD3-9BF839B94793}" xr6:coauthVersionLast="47" xr6:coauthVersionMax="47" xr10:uidLastSave="{00000000-0000-0000-0000-000000000000}"/>
  <bookViews>
    <workbookView xWindow="-108" yWindow="-108" windowWidth="23256" windowHeight="12456" activeTab="1"/>
  </bookViews>
  <sheets>
    <sheet name="538791_Tutorial 06 JemimaR_2022" sheetId="1" r:id="rId1"/>
    <sheet name="Calculation" sheetId="2" r:id="rId2"/>
  </sheets>
  <calcPr calcId="0"/>
</workbook>
</file>

<file path=xl/calcChain.xml><?xml version="1.0" encoding="utf-8"?>
<calcChain xmlns="http://schemas.openxmlformats.org/spreadsheetml/2006/main">
  <c r="H5" i="2" l="1"/>
  <c r="G5" i="2"/>
  <c r="E7" i="2"/>
  <c r="E4" i="2"/>
  <c r="E6" i="2"/>
  <c r="E2" i="2"/>
  <c r="E8" i="2"/>
  <c r="E5" i="2"/>
  <c r="E3" i="2"/>
</calcChain>
</file>

<file path=xl/sharedStrings.xml><?xml version="1.0" encoding="utf-8"?>
<sst xmlns="http://schemas.openxmlformats.org/spreadsheetml/2006/main" count="59" uniqueCount="25">
  <si>
    <t>reward_today</t>
  </si>
  <si>
    <t>future_reward</t>
  </si>
  <si>
    <t>delay</t>
  </si>
  <si>
    <t>trials.thisRepN</t>
  </si>
  <si>
    <t>trials.thisTrialN</t>
  </si>
  <si>
    <t>trials.thisN</t>
  </si>
  <si>
    <t>trials.thisIndex</t>
  </si>
  <si>
    <t>fixation.started</t>
  </si>
  <si>
    <t>text.started</t>
  </si>
  <si>
    <t>key_resp.started</t>
  </si>
  <si>
    <t>fixation.stopped</t>
  </si>
  <si>
    <t>key_resp.keys</t>
  </si>
  <si>
    <t>key_resp.rt</t>
  </si>
  <si>
    <t>participant</t>
  </si>
  <si>
    <t>session</t>
  </si>
  <si>
    <t>date</t>
  </si>
  <si>
    <t>expName</t>
  </si>
  <si>
    <t>psychopyVersion</t>
  </si>
  <si>
    <t>frameRate</t>
  </si>
  <si>
    <t>t</t>
  </si>
  <si>
    <t>2022-10-21_12h03.53.024</t>
  </si>
  <si>
    <t>Tutorial 06 JemimaR</t>
  </si>
  <si>
    <t>2022.2.4</t>
  </si>
  <si>
    <t>l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</si>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</sst>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workbookViewId="0">
      <selection activeCell="F22" sqref="F22"/>
    </sheetView>
  </sheetViews>
  <sheetFormatPr defaultRowHeight="14.4" x14ac:dyDescent="0.3"/>
  <cols>
    <col min="12" max="12" width="14.109375" customWidth="1"/>
  </cols>
  <sheetData>
    <row r="1" spans="1:1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">
      <c r="A2">
        <v>67</v>
      </c>
      <c r="B2">
        <v>75</v>
      </c>
      <c r="C2">
        <v>119</v>
      </c>
      <c r="D2">
        <v>0</v>
      </c>
      <c r="E2">
        <v>0</v>
      </c>
      <c r="F2">
        <v>0</v>
      </c>
      <c r="G2">
        <v>5</v>
      </c>
      <c r="H2">
        <v>22.160872599983101</v>
      </c>
      <c r="I2">
        <v>22.160872599983101</v>
      </c>
      <c r="J2">
        <v>22.160872599983101</v>
      </c>
      <c r="K2">
        <v>23.1644004000118</v>
      </c>
      <c r="L2" t="s">
        <v>19</v>
      </c>
      <c r="M2">
        <v>4.5634385999874203</v>
      </c>
      <c r="N2">
        <v>538791</v>
      </c>
      <c r="O2">
        <v>1</v>
      </c>
      <c r="P2" t="s">
        <v>20</v>
      </c>
      <c r="Q2" t="s">
        <v>21</v>
      </c>
      <c r="R2" t="s">
        <v>22</v>
      </c>
      <c r="S2">
        <v>60.115373428400098</v>
      </c>
    </row>
    <row r="3" spans="1:19" x14ac:dyDescent="0.3">
      <c r="A3">
        <v>15</v>
      </c>
      <c r="B3">
        <v>35</v>
      </c>
      <c r="C3">
        <v>13</v>
      </c>
      <c r="D3">
        <v>0</v>
      </c>
      <c r="E3">
        <v>1</v>
      </c>
      <c r="F3">
        <v>1</v>
      </c>
      <c r="G3">
        <v>1</v>
      </c>
      <c r="H3">
        <v>26.748268599971102</v>
      </c>
      <c r="I3">
        <v>27.747923400020198</v>
      </c>
      <c r="J3">
        <v>27.747923400020198</v>
      </c>
      <c r="K3">
        <v>27.747923400020198</v>
      </c>
      <c r="L3" t="s">
        <v>23</v>
      </c>
      <c r="M3">
        <v>1.6135096999933001</v>
      </c>
      <c r="N3">
        <v>538791</v>
      </c>
      <c r="O3">
        <v>1</v>
      </c>
      <c r="P3" t="s">
        <v>20</v>
      </c>
      <c r="Q3" t="s">
        <v>21</v>
      </c>
      <c r="R3" t="s">
        <v>22</v>
      </c>
      <c r="S3">
        <v>60.115373428400098</v>
      </c>
    </row>
    <row r="4" spans="1:19" x14ac:dyDescent="0.3">
      <c r="A4">
        <v>49</v>
      </c>
      <c r="B4">
        <v>60</v>
      </c>
      <c r="C4">
        <v>89</v>
      </c>
      <c r="D4">
        <v>0</v>
      </c>
      <c r="E4">
        <v>2</v>
      </c>
      <c r="F4">
        <v>2</v>
      </c>
      <c r="G4">
        <v>4</v>
      </c>
      <c r="H4">
        <v>29.389834299974599</v>
      </c>
      <c r="I4">
        <v>30.381386299966799</v>
      </c>
      <c r="J4">
        <v>30.381386299966799</v>
      </c>
      <c r="K4">
        <v>30.398209300008599</v>
      </c>
      <c r="L4" t="s">
        <v>19</v>
      </c>
      <c r="M4">
        <v>1.79644050000933</v>
      </c>
      <c r="N4">
        <v>538791</v>
      </c>
      <c r="O4">
        <v>1</v>
      </c>
      <c r="P4" t="s">
        <v>20</v>
      </c>
      <c r="Q4" t="s">
        <v>21</v>
      </c>
      <c r="R4" t="s">
        <v>22</v>
      </c>
      <c r="S4">
        <v>60.115373428400098</v>
      </c>
    </row>
    <row r="5" spans="1:19" x14ac:dyDescent="0.3">
      <c r="A5">
        <v>27</v>
      </c>
      <c r="B5">
        <v>50</v>
      </c>
      <c r="C5">
        <v>21</v>
      </c>
      <c r="D5">
        <v>0</v>
      </c>
      <c r="E5">
        <v>3</v>
      </c>
      <c r="F5">
        <v>3</v>
      </c>
      <c r="G5">
        <v>2</v>
      </c>
      <c r="H5">
        <v>32.198306699981899</v>
      </c>
      <c r="I5">
        <v>33.197880299994701</v>
      </c>
      <c r="J5">
        <v>33.197880299994701</v>
      </c>
      <c r="K5">
        <v>33.197880299994701</v>
      </c>
      <c r="L5" t="s">
        <v>23</v>
      </c>
      <c r="M5">
        <v>4.3090598999988199</v>
      </c>
      <c r="N5">
        <v>538791</v>
      </c>
      <c r="O5">
        <v>1</v>
      </c>
      <c r="P5" t="s">
        <v>20</v>
      </c>
      <c r="Q5" t="s">
        <v>21</v>
      </c>
      <c r="R5" t="s">
        <v>22</v>
      </c>
      <c r="S5">
        <v>60.115373428400098</v>
      </c>
    </row>
    <row r="6" spans="1:19" x14ac:dyDescent="0.3">
      <c r="A6">
        <v>78</v>
      </c>
      <c r="B6">
        <v>80</v>
      </c>
      <c r="C6">
        <v>162</v>
      </c>
      <c r="D6">
        <v>0</v>
      </c>
      <c r="E6">
        <v>4</v>
      </c>
      <c r="F6">
        <v>4</v>
      </c>
      <c r="G6">
        <v>6</v>
      </c>
      <c r="H6">
        <v>37.531108199968003</v>
      </c>
      <c r="I6">
        <v>38.531153699965202</v>
      </c>
      <c r="J6">
        <v>38.531153699965202</v>
      </c>
      <c r="K6">
        <v>38.531153699965202</v>
      </c>
      <c r="L6" t="s">
        <v>19</v>
      </c>
      <c r="M6">
        <v>3.3587864000000902</v>
      </c>
      <c r="N6">
        <v>538791</v>
      </c>
      <c r="O6">
        <v>1</v>
      </c>
      <c r="P6" t="s">
        <v>20</v>
      </c>
      <c r="Q6" t="s">
        <v>21</v>
      </c>
      <c r="R6" t="s">
        <v>22</v>
      </c>
      <c r="S6">
        <v>60.115373428400098</v>
      </c>
    </row>
    <row r="7" spans="1:19" x14ac:dyDescent="0.3">
      <c r="A7">
        <v>11</v>
      </c>
      <c r="B7">
        <v>30</v>
      </c>
      <c r="C7">
        <v>7</v>
      </c>
      <c r="D7">
        <v>0</v>
      </c>
      <c r="E7">
        <v>5</v>
      </c>
      <c r="F7">
        <v>5</v>
      </c>
      <c r="G7">
        <v>0</v>
      </c>
      <c r="H7">
        <v>41.914565599989103</v>
      </c>
      <c r="I7">
        <v>42.914512099989203</v>
      </c>
      <c r="J7">
        <v>42.914512099989203</v>
      </c>
      <c r="K7">
        <v>42.914512099989203</v>
      </c>
      <c r="L7" t="s">
        <v>23</v>
      </c>
      <c r="M7">
        <v>3.2619464999879701</v>
      </c>
      <c r="N7">
        <v>538791</v>
      </c>
      <c r="O7">
        <v>1</v>
      </c>
      <c r="P7" t="s">
        <v>20</v>
      </c>
      <c r="Q7" t="s">
        <v>21</v>
      </c>
      <c r="R7" t="s">
        <v>22</v>
      </c>
      <c r="S7">
        <v>60.115373428400098</v>
      </c>
    </row>
    <row r="8" spans="1:19" x14ac:dyDescent="0.3">
      <c r="A8">
        <v>40</v>
      </c>
      <c r="B8">
        <v>55</v>
      </c>
      <c r="C8">
        <v>62</v>
      </c>
      <c r="D8">
        <v>0</v>
      </c>
      <c r="E8">
        <v>6</v>
      </c>
      <c r="F8">
        <v>6</v>
      </c>
      <c r="G8">
        <v>3</v>
      </c>
      <c r="H8">
        <v>46.198321899981202</v>
      </c>
      <c r="I8">
        <v>47.1979639999917</v>
      </c>
      <c r="J8">
        <v>47.1979639999917</v>
      </c>
      <c r="K8">
        <v>47.1979639999917</v>
      </c>
      <c r="L8" t="s">
        <v>23</v>
      </c>
      <c r="M8">
        <v>3.78932599996915</v>
      </c>
      <c r="N8">
        <v>538791</v>
      </c>
      <c r="O8">
        <v>1</v>
      </c>
      <c r="P8" t="s">
        <v>20</v>
      </c>
      <c r="Q8" t="s">
        <v>21</v>
      </c>
      <c r="R8" t="s">
        <v>22</v>
      </c>
      <c r="S8">
        <v>60.115373428400098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tabSelected="1" workbookViewId="0">
      <selection activeCell="G5" sqref="G5"/>
    </sheetView>
  </sheetViews>
  <sheetFormatPr defaultRowHeight="14.4" x14ac:dyDescent="0.3"/>
  <cols>
    <col min="4" max="4" width="15.4414062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11</v>
      </c>
      <c r="E1" t="s">
        <v>24</v>
      </c>
    </row>
    <row r="2" spans="1:8" x14ac:dyDescent="0.3">
      <c r="A2">
        <v>78</v>
      </c>
      <c r="B2">
        <v>80</v>
      </c>
      <c r="C2">
        <v>162</v>
      </c>
      <c r="D2" t="s">
        <v>19</v>
      </c>
      <c r="E2">
        <f>((B2/A2) -1)/C2</f>
        <v>1.5827793605571326E-4</v>
      </c>
    </row>
    <row r="3" spans="1:8" x14ac:dyDescent="0.3">
      <c r="A3">
        <v>67</v>
      </c>
      <c r="B3">
        <v>75</v>
      </c>
      <c r="C3">
        <v>119</v>
      </c>
      <c r="D3" t="s">
        <v>19</v>
      </c>
      <c r="E3">
        <f>((B3/A3) -1)/C3</f>
        <v>1.0033864291985443E-3</v>
      </c>
    </row>
    <row r="4" spans="1:8" x14ac:dyDescent="0.3">
      <c r="A4">
        <v>49</v>
      </c>
      <c r="B4">
        <v>60</v>
      </c>
      <c r="C4">
        <v>89</v>
      </c>
      <c r="D4" t="s">
        <v>19</v>
      </c>
      <c r="E4">
        <f>((B4/A4) -1)/C4</f>
        <v>2.522357257509746E-3</v>
      </c>
    </row>
    <row r="5" spans="1:8" x14ac:dyDescent="0.3">
      <c r="A5">
        <v>40</v>
      </c>
      <c r="B5">
        <v>55</v>
      </c>
      <c r="C5">
        <v>62</v>
      </c>
      <c r="D5" t="s">
        <v>23</v>
      </c>
      <c r="E5">
        <f>((B5/A5) -1)/C5</f>
        <v>6.0483870967741934E-3</v>
      </c>
      <c r="G5">
        <f>GEOMEAN(E4:E5)</f>
        <v>3.9059177013573507E-3</v>
      </c>
      <c r="H5">
        <f>SQRT(E5*E4)</f>
        <v>3.9059177013573507E-3</v>
      </c>
    </row>
    <row r="6" spans="1:8" x14ac:dyDescent="0.3">
      <c r="A6">
        <v>27</v>
      </c>
      <c r="B6">
        <v>50</v>
      </c>
      <c r="C6">
        <v>21</v>
      </c>
      <c r="D6" t="s">
        <v>23</v>
      </c>
      <c r="E6">
        <f>((B6/A6) -1)/C6</f>
        <v>4.0564373897707229E-2</v>
      </c>
    </row>
    <row r="7" spans="1:8" x14ac:dyDescent="0.3">
      <c r="A7">
        <v>15</v>
      </c>
      <c r="B7">
        <v>35</v>
      </c>
      <c r="C7">
        <v>13</v>
      </c>
      <c r="D7" t="s">
        <v>23</v>
      </c>
      <c r="E7">
        <f>((B7/A7) -1)/C7</f>
        <v>0.10256410256410257</v>
      </c>
    </row>
    <row r="8" spans="1:8" x14ac:dyDescent="0.3">
      <c r="A8">
        <v>11</v>
      </c>
      <c r="B8">
        <v>30</v>
      </c>
      <c r="C8">
        <v>7</v>
      </c>
      <c r="D8" t="s">
        <v>23</v>
      </c>
      <c r="E8">
        <f>((B8/A8) -1)/C8</f>
        <v>0.24675324675324672</v>
      </c>
    </row>
  </sheetData>
  <sortState xmlns:xlrd2="http://schemas.microsoft.com/office/spreadsheetml/2017/richdata2" ref="A2:E8">
    <sortCondition ref="E1:E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538791_Tutorial 06 JemimaR_2022</vt:lpstr>
      <vt:lpstr>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JEMIMA</dc:creator>
  <cp:lastModifiedBy>JEMIMA</cp:lastModifiedBy>
  <dcterms:created xsi:type="dcterms:W3CDTF">2022-12-02T04:05:30Z</dcterms:created>
  <dcterms:modified xsi:type="dcterms:W3CDTF">2022-12-02T04:28:38Z</dcterms:modified>
</cp:coreProperties>
</file>